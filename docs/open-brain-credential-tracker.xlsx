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pen Brain Track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FFFFFF"/>
      <sz val="24"/>
    </font>
    <font>
      <name val="Arial"/>
      <charset val="1"/>
      <family val="0"/>
      <color rgb="FFBBBBBB"/>
      <sz val="10"/>
    </font>
    <font>
      <name val="Arial"/>
      <charset val="1"/>
      <family val="0"/>
      <color rgb="FF555555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333333"/>
      <sz val="10"/>
    </font>
    <font>
      <name val="Arial"/>
      <charset val="1"/>
      <family val="0"/>
      <color rgb="FF1A1A2E"/>
      <sz val="10"/>
    </font>
    <font>
      <name val="Arial"/>
      <charset val="1"/>
      <family val="0"/>
      <color rgb="FF1A1A2E"/>
      <sz val="11"/>
    </font>
    <font>
      <name val="Arial"/>
      <charset val="1"/>
      <family val="0"/>
      <color rgb="FF999999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3333"/>
      <sz val="10"/>
    </font>
    <font>
      <name val="Arial"/>
      <b val="1"/>
      <color rgb="FFFFFFFF"/>
      <sz val="14"/>
    </font>
    <font>
      <name val="Arial"/>
      <b val="1"/>
      <color rgb="FFCC3333"/>
      <sz val="12"/>
    </font>
  </fonts>
  <fills count="20">
    <fill>
      <patternFill/>
    </fill>
    <fill>
      <patternFill patternType="gray125"/>
    </fill>
    <fill>
      <patternFill patternType="solid">
        <fgColor rgb="FF44475A"/>
        <bgColor rgb="FF555555"/>
      </patternFill>
    </fill>
    <fill>
      <patternFill patternType="solid">
        <fgColor rgb="FFEEEEEE"/>
        <bgColor rgb="FFFFF0F0"/>
      </patternFill>
    </fill>
    <fill>
      <patternFill patternType="solid">
        <fgColor rgb="FFE53935"/>
        <bgColor rgb="FFCC3333"/>
      </patternFill>
    </fill>
    <fill>
      <patternFill patternType="solid">
        <fgColor rgb="FF66BB6A"/>
        <bgColor rgb="FF43A047"/>
      </patternFill>
    </fill>
    <fill>
      <patternFill patternType="solid">
        <fgColor rgb="FFFFFFFF"/>
        <bgColor rgb="FFFFF0F0"/>
      </patternFill>
    </fill>
    <fill>
      <patternFill patternType="solid">
        <fgColor rgb="FFF4511E"/>
        <bgColor rgb="FFE53935"/>
      </patternFill>
    </fill>
    <fill>
      <patternFill patternType="solid">
        <fgColor rgb="FFFB8C00"/>
        <bgColor rgb="FFFF8080"/>
      </patternFill>
    </fill>
    <fill>
      <patternFill patternType="solid">
        <fgColor rgb="FF78909C"/>
        <bgColor rgb="FF999999"/>
      </patternFill>
    </fill>
    <fill>
      <patternFill patternType="solid">
        <fgColor rgb="FF43A047"/>
        <bgColor rgb="FF66BB6A"/>
      </patternFill>
    </fill>
    <fill>
      <patternFill patternType="solid">
        <fgColor rgb="FF00897B"/>
        <bgColor rgb="FF008080"/>
      </patternFill>
    </fill>
    <fill>
      <patternFill patternType="solid">
        <fgColor rgb="FF1E88E5"/>
        <bgColor rgb="FF0066CC"/>
      </patternFill>
    </fill>
    <fill>
      <patternFill patternType="solid">
        <fgColor rgb="FF5C6BC0"/>
        <bgColor rgb="FF78909C"/>
      </patternFill>
    </fill>
    <fill>
      <patternFill patternType="solid">
        <fgColor rgb="FFFFF0F0"/>
        <bgColor rgb="FFEEEEEE"/>
      </patternFill>
    </fill>
    <fill>
      <patternFill patternType="solid">
        <fgColor rgb="FF43A047"/>
      </patternFill>
    </fill>
    <fill>
      <patternFill patternType="solid">
        <fgColor rgb="FF00897B"/>
      </patternFill>
    </fill>
    <fill>
      <patternFill patternType="solid">
        <fgColor rgb="FF1E88E5"/>
      </patternFill>
    </fill>
    <fill>
      <patternFill patternType="solid">
        <fgColor rgb="FF5C6BC0"/>
      </patternFill>
    </fill>
    <fill>
      <patternFill patternType="solid">
        <fgColor rgb="FFFFF0F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4" fillId="6" borderId="3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/>
    </xf>
    <xf numFmtId="0" fontId="8" fillId="10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/>
    </xf>
    <xf numFmtId="0" fontId="15" fillId="6" borderId="3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left" vertical="center"/>
    </xf>
    <xf numFmtId="0" fontId="8" fillId="13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/>
    </xf>
    <xf numFmtId="0" fontId="16" fillId="1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4" fillId="6" borderId="3" applyAlignment="1" pivotButton="0" quotePrefix="0" xfId="0">
      <alignment horizontal="left" vertical="center" wrapText="1"/>
    </xf>
    <xf numFmtId="0" fontId="17" fillId="15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/>
    </xf>
    <xf numFmtId="0" fontId="17" fillId="16" borderId="0" applyAlignment="1" pivotButton="0" quotePrefix="0" xfId="0">
      <alignment horizontal="left" vertical="center"/>
    </xf>
    <xf numFmtId="0" fontId="17" fillId="17" borderId="0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/>
    </xf>
    <xf numFmtId="0" fontId="15" fillId="6" borderId="3" applyAlignment="1" pivotButton="0" quotePrefix="0" xfId="0">
      <alignment horizontal="left" vertical="center" wrapText="1"/>
    </xf>
    <xf numFmtId="0" fontId="17" fillId="18" borderId="0" applyAlignment="1" pivotButton="0" quotePrefix="0" xfId="0">
      <alignment horizontal="left" vertical="center"/>
    </xf>
    <xf numFmtId="0" fontId="18" fillId="19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55555"/>
      <rgbColor rgb="FF800080"/>
      <rgbColor rgb="FF00897B"/>
      <rgbColor rgb="FFBBBBBB"/>
      <rgbColor rgb="FF78909C"/>
      <rgbColor rgb="FFAAAAAA"/>
      <rgbColor rgb="FFCC3333"/>
      <rgbColor rgb="FFFFF0F0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E88E5"/>
      <rgbColor rgb="FF66BB6A"/>
      <rgbColor rgb="FF99CC00"/>
      <rgbColor rgb="FFFFCC00"/>
      <rgbColor rgb="FFFB8C00"/>
      <rgbColor rgb="FFF4511E"/>
      <rgbColor rgb="FF5C6BC0"/>
      <rgbColor rgb="FF999999"/>
      <rgbColor rgb="FF003366"/>
      <rgbColor rgb="FF43A047"/>
      <rgbColor rgb="FF003300"/>
      <rgbColor rgb="FF1A1A2E"/>
      <rgbColor rgb="FF993300"/>
      <rgbColor rgb="FFE53935"/>
      <rgbColor rgb="FF44475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.5" customWidth="1" style="33" min="1" max="1"/>
    <col width="9" customWidth="1" style="33" min="2" max="3"/>
    <col width="40" customWidth="1" style="33" min="4" max="4"/>
    <col width="90" customWidth="1" style="33" min="5" max="5"/>
    <col width="2.5" customWidth="1" style="33" min="6" max="6"/>
  </cols>
  <sheetData>
    <row r="1" ht="7.5" customHeight="1" s="34">
      <c r="A1" s="35" t="n"/>
      <c r="B1" s="35" t="n"/>
      <c r="C1" s="35" t="n"/>
      <c r="D1" s="35" t="n"/>
      <c r="E1" s="35" t="n"/>
      <c r="F1" s="35" t="n"/>
    </row>
    <row r="2" ht="48" customHeight="1" s="34">
      <c r="A2" s="35" t="n"/>
      <c r="B2" s="36" t="inlineStr">
        <is>
          <t>OPEN BRAIN — CREDENTIAL TRACKER</t>
        </is>
      </c>
      <c r="F2" s="35" t="n"/>
    </row>
    <row r="3" ht="19.5" customHeight="1" s="34">
      <c r="A3" s="35" t="n"/>
      <c r="B3" s="37" t="inlineStr">
        <is>
          <t>Fill in ENTER rows as you go. COPY rows auto-populate. This file IS the guide.</t>
        </is>
      </c>
      <c r="F3" s="35" t="n"/>
    </row>
    <row r="4" ht="42" customHeight="1" s="34">
      <c r="A4" s="38" t="n"/>
      <c r="B4" s="39" t="inlineStr">
        <is>
          <t>📋  Apple Numbers users: to copy a formula cell, double-click the cell first, then ⌘A to select all, then ⌘C to copy. This grabs the displayed text, not the formula. In Excel or Google Sheets, copying works normally.</t>
        </is>
      </c>
      <c r="F4" s="38" t="n"/>
    </row>
    <row r="6" ht="31.5" customHeight="1" s="34">
      <c r="A6" s="40" t="n"/>
      <c r="B6" s="41" t="inlineStr">
        <is>
          <t>STEP 1 — CREATE YOUR SUPABASE PROJECT</t>
        </is>
      </c>
      <c r="F6" s="40" t="n"/>
    </row>
    <row r="7" ht="21.75" customHeight="1" s="34">
      <c r="B7" s="42" t="inlineStr">
        <is>
          <t>Step</t>
        </is>
      </c>
      <c r="C7" s="42" t="inlineStr">
        <is>
          <t>Action</t>
        </is>
      </c>
      <c r="D7" s="43" t="inlineStr">
        <is>
          <t>What</t>
        </is>
      </c>
      <c r="E7" s="43" t="inlineStr">
        <is>
          <t>Value</t>
        </is>
      </c>
    </row>
    <row r="8" ht="30" customHeight="1" s="34">
      <c r="B8" s="44" t="inlineStr">
        <is>
          <t>1</t>
        </is>
      </c>
      <c r="C8" s="45" t="inlineStr">
        <is>
          <t>ENTER</t>
        </is>
      </c>
      <c r="D8" s="46" t="inlineStr">
        <is>
          <t>Supabase Account Email</t>
        </is>
      </c>
      <c r="E8" s="47" t="n"/>
    </row>
    <row r="9" ht="30" customHeight="1" s="34">
      <c r="B9" s="44" t="inlineStr">
        <is>
          <t>1</t>
        </is>
      </c>
      <c r="C9" s="45" t="inlineStr">
        <is>
          <t>ENTER</t>
        </is>
      </c>
      <c r="D9" s="46" t="inlineStr">
        <is>
          <t>Supabase Account Password</t>
        </is>
      </c>
      <c r="E9" s="47" t="n"/>
    </row>
    <row r="10" ht="30" customHeight="1" s="34">
      <c r="B10" s="44" t="inlineStr">
        <is>
          <t>1.5</t>
        </is>
      </c>
      <c r="C10" s="45" t="inlineStr">
        <is>
          <t>ENTER</t>
        </is>
      </c>
      <c r="D10" s="46" t="inlineStr">
        <is>
          <t>Database Password</t>
        </is>
      </c>
      <c r="E10" s="47" t="n"/>
    </row>
    <row r="11" ht="30" customHeight="1" s="34">
      <c r="B11" s="44" t="inlineStr">
        <is>
          <t>1.8</t>
        </is>
      </c>
      <c r="C11" s="45" t="inlineStr">
        <is>
          <t>ENTER</t>
        </is>
      </c>
      <c r="D11" s="46" t="inlineStr">
        <is>
          <t>Project Ref (random string from dashboard URL)</t>
        </is>
      </c>
      <c r="E11" s="47" t="n"/>
    </row>
    <row r="12" ht="7.5" customHeight="1" s="34"/>
    <row r="13" ht="31.5" customHeight="1" s="34">
      <c r="A13" s="48" t="n"/>
      <c r="B13" s="49" t="inlineStr">
        <is>
          <t>STEP 2 — SET UP THE DATABASE</t>
        </is>
      </c>
      <c r="F13" s="48" t="n"/>
    </row>
    <row r="14" ht="24" customHeight="1" s="34">
      <c r="B14" s="50" t="inlineStr">
        <is>
          <t>No credentials needed — run the three SQL commands from the guide.</t>
        </is>
      </c>
    </row>
    <row r="15" ht="7.5" customHeight="1" s="34"/>
    <row r="16" ht="31.5" customHeight="1" s="34">
      <c r="A16" s="51" t="n"/>
      <c r="B16" s="52" t="inlineStr">
        <is>
          <t>STEP 3 — SAVE YOUR CONNECTION DETAILS</t>
        </is>
      </c>
      <c r="F16" s="51" t="n"/>
    </row>
    <row r="17" ht="21.75" customHeight="1" s="34">
      <c r="B17" s="42" t="inlineStr">
        <is>
          <t>Step</t>
        </is>
      </c>
      <c r="C17" s="42" t="inlineStr">
        <is>
          <t>Action</t>
        </is>
      </c>
      <c r="D17" s="43" t="inlineStr">
        <is>
          <t>What</t>
        </is>
      </c>
      <c r="E17" s="43" t="inlineStr">
        <is>
          <t>Value</t>
        </is>
      </c>
    </row>
    <row r="18" ht="30" customHeight="1" s="34">
      <c r="B18" s="44" t="inlineStr">
        <is>
          <t>3</t>
        </is>
      </c>
      <c r="C18" s="53" t="inlineStr">
        <is>
          <t>AUTO</t>
        </is>
      </c>
      <c r="D18" s="46" t="inlineStr">
        <is>
          <t>Project URL (auto-built from Project Ref)</t>
        </is>
      </c>
      <c r="E18" s="54">
        <f>IF(E11="","← enter Project Ref in Step 1","https://"&amp;E11&amp;".supabase.co")</f>
        <v/>
      </c>
    </row>
    <row r="19" ht="30" customHeight="1" s="34">
      <c r="B19" s="44" t="inlineStr">
        <is>
          <t>3</t>
        </is>
      </c>
      <c r="C19" s="45" t="inlineStr">
        <is>
          <t>ENTER</t>
        </is>
      </c>
      <c r="D19" s="46" t="inlineStr">
        <is>
          <t>Secret Key (Settings → API → click reveal)</t>
        </is>
      </c>
      <c r="E19" s="47" t="n"/>
    </row>
    <row r="20" ht="7.5" customHeight="1" s="34"/>
    <row r="21" ht="31.5" customHeight="1" s="34">
      <c r="A21" s="55" t="n"/>
      <c r="B21" s="55" t="inlineStr">
        <is>
          <t>STEP 4 — GET AN AI API KEY</t>
        </is>
      </c>
      <c r="F21" s="55" t="n"/>
    </row>
    <row r="22" ht="21.75" customHeight="1" s="34">
      <c r="B22" s="42" t="inlineStr">
        <is>
          <t>Step</t>
        </is>
      </c>
      <c r="C22" s="42" t="inlineStr">
        <is>
          <t>Action</t>
        </is>
      </c>
      <c r="D22" s="43" t="inlineStr">
        <is>
          <t>What</t>
        </is>
      </c>
      <c r="E22" s="43" t="inlineStr">
        <is>
          <t>Value</t>
        </is>
      </c>
    </row>
    <row r="23" ht="30" customHeight="1" s="34">
      <c r="B23" s="56" t="inlineStr">
        <is>
          <t>4</t>
        </is>
      </c>
      <c r="C23" s="57" t="inlineStr">
        <is>
          <t>ENTER</t>
        </is>
      </c>
      <c r="D23" s="58" t="inlineStr">
        <is>
          <t>AI Provider (OpenRouter or OpenAI)</t>
        </is>
      </c>
      <c r="E23" s="59" t="n"/>
    </row>
    <row r="24" ht="30" customHeight="1" s="34">
      <c r="B24" s="44" t="inlineStr">
        <is>
          <t>4</t>
        </is>
      </c>
      <c r="C24" s="45" t="inlineStr">
        <is>
          <t>ENTER</t>
        </is>
      </c>
      <c r="D24" s="46" t="inlineStr">
        <is>
          <t>AI Provider Account Email</t>
        </is>
      </c>
      <c r="E24" s="47" t="n"/>
    </row>
    <row r="25" ht="30" customHeight="1" s="34">
      <c r="B25" s="44" t="inlineStr">
        <is>
          <t>4</t>
        </is>
      </c>
      <c r="C25" s="45" t="inlineStr">
        <is>
          <t>ENTER</t>
        </is>
      </c>
      <c r="D25" s="46" t="inlineStr">
        <is>
          <t>AI Provider Account Password / Login Method</t>
        </is>
      </c>
      <c r="E25" s="47" t="n"/>
    </row>
    <row r="26" ht="30" customHeight="1" s="34">
      <c r="B26" s="44" t="inlineStr">
        <is>
          <t>4</t>
        </is>
      </c>
      <c r="C26" s="45" t="inlineStr">
        <is>
          <t>ENTER</t>
        </is>
      </c>
      <c r="D26" s="46" t="inlineStr">
        <is>
          <t>AI API Key</t>
        </is>
      </c>
      <c r="E26" s="47" t="n"/>
    </row>
    <row r="27" ht="8" customHeight="1" s="34"/>
    <row r="28" ht="31.5" customHeight="1" s="34">
      <c r="A28" s="60" t="n"/>
      <c r="B28" s="60" t="inlineStr">
        <is>
          <t>STEP 5 — CREATE AN ACCESS KEY</t>
        </is>
      </c>
      <c r="F28" s="60" t="n"/>
    </row>
    <row r="29" ht="21.75" customHeight="1" s="34">
      <c r="B29" s="42" t="inlineStr">
        <is>
          <t>Step</t>
        </is>
      </c>
      <c r="C29" s="42" t="inlineStr">
        <is>
          <t>Action</t>
        </is>
      </c>
      <c r="D29" s="43" t="inlineStr">
        <is>
          <t>What</t>
        </is>
      </c>
      <c r="E29" s="43" t="inlineStr">
        <is>
          <t>Value</t>
        </is>
      </c>
    </row>
    <row r="30" ht="30" customHeight="1" s="34">
      <c r="B30" s="44" t="inlineStr">
        <is>
          <t>5</t>
        </is>
      </c>
      <c r="C30" s="45" t="inlineStr">
        <is>
          <t>ENTER</t>
        </is>
      </c>
      <c r="D30" s="46" t="inlineStr">
        <is>
          <t>MCP Access Key (output of openssl rand -hex 32)</t>
        </is>
      </c>
      <c r="E30" s="47" t="n"/>
    </row>
    <row r="31" ht="8" customHeight="1" s="34"/>
    <row r="32" ht="31.5" customHeight="1" s="34">
      <c r="A32" s="61" t="n"/>
      <c r="B32" s="61" t="inlineStr">
        <is>
          <t>STEP 6 — DEPLOY THE MCP SERVER</t>
        </is>
      </c>
      <c r="F32" s="61" t="n"/>
    </row>
    <row r="33" ht="21.75" customHeight="1" s="34">
      <c r="B33" s="42" t="inlineStr">
        <is>
          <t>Step</t>
        </is>
      </c>
      <c r="C33" s="42" t="inlineStr">
        <is>
          <t>Action</t>
        </is>
      </c>
      <c r="D33" s="43" t="inlineStr">
        <is>
          <t>What</t>
        </is>
      </c>
      <c r="E33" s="43" t="inlineStr">
        <is>
          <t>Value</t>
        </is>
      </c>
    </row>
    <row r="34" ht="30" customHeight="1" s="34">
      <c r="B34" s="44" t="inlineStr">
        <is>
          <t>6.4</t>
        </is>
      </c>
      <c r="C34" s="62" t="inlineStr">
        <is>
          <t>COPY</t>
        </is>
      </c>
      <c r="D34" s="46" t="inlineStr">
        <is>
          <t>Terminal: supabase link command</t>
        </is>
      </c>
      <c r="E34" s="63">
        <f>IF(E11="","← enter Project Ref in Step 1","supabase link --project-ref "&amp;E11)</f>
        <v/>
      </c>
    </row>
    <row r="35" ht="30" customHeight="1" s="34">
      <c r="B35" s="44" t="inlineStr">
        <is>
          <t>6.5</t>
        </is>
      </c>
      <c r="C35" s="62" t="inlineStr">
        <is>
          <t>COPY</t>
        </is>
      </c>
      <c r="D35" s="46" t="inlineStr">
        <is>
          <t>Terminal: set MCP Access Key secret</t>
        </is>
      </c>
      <c r="E35" s="63">
        <f>IF(E30="","← enter Access Key in Step 5","supabase secrets set MCP_ACCESS_KEY="&amp;E30)</f>
        <v/>
      </c>
    </row>
    <row r="36" ht="30" customHeight="1" s="34">
      <c r="B36" s="44" t="inlineStr">
        <is>
          <t>6.5</t>
        </is>
      </c>
      <c r="C36" s="62" t="inlineStr">
        <is>
          <t>COPY</t>
        </is>
      </c>
      <c r="D36" s="46" t="inlineStr">
        <is>
          <t>Terminal: set AI API Key secret</t>
        </is>
      </c>
      <c r="E36" s="63">
        <f>IF(E26="","← enter AI API Key in Step 4",IF(E23="","← enter Provider in Step 4",IF(ISNUMBER(SEARCH("openai",LOWER(E23))),"supabase secrets set OPENAI_API_KEY="&amp;E26,"supabase secrets set OPENROUTER_API_KEY="&amp;E26)))</f>
        <v/>
      </c>
    </row>
    <row r="37" ht="30" customHeight="1" s="34">
      <c r="B37" s="44" t="inlineStr">
        <is>
          <t>6.7</t>
        </is>
      </c>
      <c r="C37" s="53" t="inlineStr">
        <is>
          <t>AUTO</t>
        </is>
      </c>
      <c r="D37" s="46" t="inlineStr">
        <is>
          <t>MCP Server URL</t>
        </is>
      </c>
      <c r="E37" s="54">
        <f>IF(E11="","← enter Project Ref in Step 1","https://"&amp;E11&amp;".supabase.co/functions/v1/open-brain-mcp")</f>
        <v/>
      </c>
    </row>
    <row r="38" ht="30" customHeight="1" s="34">
      <c r="B38" s="44" t="inlineStr">
        <is>
          <t>6.7</t>
        </is>
      </c>
      <c r="C38" s="53" t="inlineStr">
        <is>
          <t>AUTO</t>
        </is>
      </c>
      <c r="D38" s="46" t="inlineStr">
        <is>
          <t>MCP Connection URL</t>
        </is>
      </c>
      <c r="E38" s="54">
        <f>IF(OR(E11="",E30=""),"← enter Project Ref + Access Key","https://"&amp;E11&amp;".supabase.co/functions/v1/open-brain-mcp?key="&amp;E30)</f>
        <v/>
      </c>
    </row>
    <row r="39" ht="8" customHeight="1" s="34"/>
    <row r="40" ht="31.5" customHeight="1" s="34">
      <c r="A40" s="64" t="n"/>
      <c r="B40" s="64" t="inlineStr">
        <is>
          <t>STEP 7 — CONNECT TO YOUR AI</t>
        </is>
      </c>
      <c r="F40" s="64" t="n"/>
    </row>
    <row r="41" ht="21.75" customHeight="1" s="34">
      <c r="B41" s="42" t="inlineStr">
        <is>
          <t>Step</t>
        </is>
      </c>
      <c r="C41" s="42" t="inlineStr">
        <is>
          <t>Action</t>
        </is>
      </c>
      <c r="D41" s="43" t="inlineStr">
        <is>
          <t>What</t>
        </is>
      </c>
      <c r="E41" s="43" t="inlineStr">
        <is>
          <t>Value</t>
        </is>
      </c>
    </row>
    <row r="42" ht="30" customHeight="1" s="34">
      <c r="B42" s="44" t="inlineStr">
        <is>
          <t>7.1</t>
        </is>
      </c>
      <c r="C42" s="62" t="inlineStr">
        <is>
          <t>COPY</t>
        </is>
      </c>
      <c r="D42" s="46" t="inlineStr">
        <is>
          <t>Claude Desktop → Connectors → Remote MCP server URL</t>
        </is>
      </c>
      <c r="E42" s="63">
        <f>E38</f>
        <v/>
      </c>
    </row>
    <row r="43" ht="30" customHeight="1" s="34">
      <c r="B43" s="44" t="inlineStr">
        <is>
          <t>7.2</t>
        </is>
      </c>
      <c r="C43" s="62" t="inlineStr">
        <is>
          <t>COPY</t>
        </is>
      </c>
      <c r="D43" s="46" t="inlineStr">
        <is>
          <t>ChatGPT → Apps &amp; Connectors → MCP endpoint URL</t>
        </is>
      </c>
      <c r="E43" s="63">
        <f>E38</f>
        <v/>
      </c>
    </row>
    <row r="44" ht="36" customHeight="1" s="34">
      <c r="B44" s="44" t="inlineStr">
        <is>
          <t>7.3</t>
        </is>
      </c>
      <c r="C44" s="62" t="inlineStr">
        <is>
          <t>COPY</t>
        </is>
      </c>
      <c r="D44" s="46" t="inlineStr">
        <is>
          <t>Terminal: Claude Code CLI command</t>
        </is>
      </c>
      <c r="E44" s="63">
        <f>IF(OR(E11="",E30=""),"← enter Project Ref + Access Key","claude mcp add --transport http open-brain https://"&amp;E11&amp;".supabase.co/functions/v1/open-brain-mcp --header "&amp;CHAR(34)&amp;"x-brain-key: "&amp;E30&amp;CHAR(34))</f>
        <v/>
      </c>
    </row>
    <row r="45" ht="219.75" customHeight="1" s="34">
      <c r="B45" s="44" t="inlineStr">
        <is>
          <t>7.4</t>
        </is>
      </c>
      <c r="C45" s="62" t="inlineStr">
        <is>
          <t>COPY</t>
        </is>
      </c>
      <c r="D45" s="46" t="inlineStr">
        <is>
          <t>JSON config for mcp-remote clients
(Cursor, VS Code, Windsurf)</t>
        </is>
      </c>
      <c r="E45" s="63">
        <f>IF(OR(E11="",E30=""),"← enter Project Ref + Access Key","{" &amp; CHAR(10)&amp; "  " &amp; CHAR(34) &amp; "mcpServers" &amp; CHAR(34) &amp; ": {" &amp; CHAR(10)&amp; "    " &amp; CHAR(34) &amp; "open-brain" &amp; CHAR(34) &amp; ": {" &amp; CHAR(10)&amp; "      " &amp; CHAR(34) &amp; "command" &amp; CHAR(34) &amp; ": " &amp; CHAR(34) &amp; "npx" &amp; CHAR(34) &amp; "," &amp; CHAR(10)&amp; "      " &amp; CHAR(34) &amp; "args" &amp; CHAR(34) &amp; ": [" &amp; CHAR(10)&amp; "        " &amp; CHAR(34) &amp; "mcp-remote" &amp; CHAR(34) &amp; "," &amp; CHAR(10)&amp; "        " &amp; CHAR(34) &amp; "https://" &amp; E11 &amp; ".supabase.co/functions/v1/open-brain-mcp" &amp; CHAR(34) &amp; "," &amp; CHAR(10)&amp; "        " &amp; CHAR(34) &amp; "--header" &amp; CHAR(34) &amp; "," &amp; CHAR(10)&amp; "        " &amp; CHAR(34) &amp; "x-brain-key:${BRAIN_KEY}" &amp; CHAR(34) &amp; CHAR(10)&amp; "      ]," &amp; CHAR(10)&amp; "      " &amp; CHAR(34) &amp; "env" &amp; CHAR(34) &amp; ": {" &amp; CHAR(10)&amp; "        " &amp; CHAR(34) &amp; "BRAIN_KEY" &amp; CHAR(34) &amp; ": " &amp; CHAR(34) &amp; E30 &amp; CHAR(34) &amp; CHAR(10)&amp; "      }" &amp; CHAR(10)&amp; "    }" &amp; CHAR(10)&amp; "  }" &amp; CHAR(10)&amp; "}")</f>
        <v/>
      </c>
    </row>
    <row r="46" ht="8" customHeight="1" s="34"/>
    <row r="47" ht="36" customHeight="1" s="34">
      <c r="A47" s="65" t="n"/>
      <c r="B47" s="65" t="inlineStr">
        <is>
          <t>⚠  This file contains secrets. Your Secret Key grants full database access. Store this file securely and never share it.</t>
        </is>
      </c>
      <c r="F47" s="65" t="n"/>
    </row>
  </sheetData>
  <mergeCells count="12">
    <mergeCell ref="B40:E40"/>
    <mergeCell ref="B4:E4"/>
    <mergeCell ref="B13:E13"/>
    <mergeCell ref="B6:E6"/>
    <mergeCell ref="B21:E21"/>
    <mergeCell ref="B16:E16"/>
    <mergeCell ref="B3:E3"/>
    <mergeCell ref="B2:E2"/>
    <mergeCell ref="B47:E47"/>
    <mergeCell ref="B28:E28"/>
    <mergeCell ref="B14:E14"/>
    <mergeCell ref="B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2026-03-15T05:28:02Z</dcterms:created>
  <dcterms:modified xmlns:dcterms="http://purl.org/dc/terms/" xmlns:xsi="http://www.w3.org/2001/XMLSchema-instance" xsi:type="dcterms:W3CDTF">2026-05-14T14:03:58Z</dcterms:modified>
  <cp:revision>0</cp:revision>
</cp:coreProperties>
</file>